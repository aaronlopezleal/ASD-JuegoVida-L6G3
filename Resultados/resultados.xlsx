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esktop\ASD-JuegoVida-L6G3\Resultados\"/>
    </mc:Choice>
  </mc:AlternateContent>
  <xr:revisionPtr revIDLastSave="0" documentId="8_{113208AD-C437-4CAE-AA40-371733C61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Resultados locales" sheetId="2" r:id="rId2"/>
    <sheet name="Escalabilidad" sheetId="3" r:id="rId3"/>
    <sheet name="Cluster CUDA" sheetId="4" r:id="rId4"/>
    <sheet name="No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H6" i="4"/>
  <c r="H5" i="4"/>
  <c r="F17" i="3"/>
  <c r="F16" i="3"/>
  <c r="F15" i="3"/>
  <c r="F14" i="3"/>
  <c r="J8" i="3"/>
  <c r="K8" i="3" s="1"/>
  <c r="D8" i="3"/>
  <c r="E8" i="3" s="1"/>
  <c r="J7" i="3"/>
  <c r="K7" i="3" s="1"/>
  <c r="D7" i="3"/>
  <c r="E7" i="3" s="1"/>
  <c r="K6" i="3"/>
  <c r="J6" i="3"/>
  <c r="D6" i="3"/>
  <c r="E6" i="3" s="1"/>
  <c r="K5" i="3"/>
  <c r="J5" i="3"/>
  <c r="D5" i="3"/>
  <c r="E5" i="3" s="1"/>
  <c r="I15" i="2"/>
  <c r="H15" i="2"/>
  <c r="I14" i="2"/>
  <c r="H14" i="2"/>
  <c r="I13" i="2"/>
  <c r="H13" i="2"/>
  <c r="H9" i="2"/>
  <c r="G9" i="2"/>
  <c r="H8" i="2"/>
  <c r="G8" i="2"/>
  <c r="H7" i="2"/>
  <c r="G7" i="2"/>
  <c r="H6" i="2"/>
  <c r="G6" i="2"/>
  <c r="H5" i="2"/>
  <c r="G5" i="2"/>
  <c r="H4" i="2"/>
  <c r="G4" i="2"/>
  <c r="H18" i="1"/>
  <c r="G18" i="1"/>
  <c r="H17" i="1"/>
  <c r="G17" i="1"/>
  <c r="H16" i="1"/>
  <c r="G16" i="1"/>
  <c r="H15" i="1"/>
  <c r="G15" i="1"/>
  <c r="H14" i="1"/>
  <c r="G14" i="1"/>
  <c r="H13" i="1"/>
  <c r="G13" i="1"/>
  <c r="E9" i="1"/>
  <c r="E5" i="1"/>
</calcChain>
</file>

<file path=xl/sharedStrings.xml><?xml version="1.0" encoding="utf-8"?>
<sst xmlns="http://schemas.openxmlformats.org/spreadsheetml/2006/main" count="151" uniqueCount="87">
  <si>
    <t>Proyecto ASD - Juego de la Vida de Conway</t>
  </si>
  <si>
    <t>N</t>
  </si>
  <si>
    <t>Mejor versión CPU</t>
  </si>
  <si>
    <t>V5 híbrida</t>
  </si>
  <si>
    <t>Generaciones</t>
  </si>
  <si>
    <t>Tiempo V5</t>
  </si>
  <si>
    <t>Repeticiones</t>
  </si>
  <si>
    <t>Speedup V5 vs V1</t>
  </si>
  <si>
    <t>Semilla</t>
  </si>
  <si>
    <t>Probabilidad viva inicial</t>
  </si>
  <si>
    <t>Mejor versión global</t>
  </si>
  <si>
    <t>V6 CUDA</t>
  </si>
  <si>
    <t>Resultado esperado</t>
  </si>
  <si>
    <t>Tiempo V6</t>
  </si>
  <si>
    <t>Speedup V6 vs V1</t>
  </si>
  <si>
    <t>Versión</t>
  </si>
  <si>
    <t>Técnica</t>
  </si>
  <si>
    <t>Configuración</t>
  </si>
  <si>
    <t>Mejor tiempo (s)</t>
  </si>
  <si>
    <t>Células vivas</t>
  </si>
  <si>
    <t>Unidades</t>
  </si>
  <si>
    <t>Speedup vs V1</t>
  </si>
  <si>
    <t>Speedup vs V2</t>
  </si>
  <si>
    <t>V1</t>
  </si>
  <si>
    <t>Secuencial base</t>
  </si>
  <si>
    <t>vector&lt;vector&lt;int&gt;&gt;</t>
  </si>
  <si>
    <t>V2</t>
  </si>
  <si>
    <t>Secuencial optimizada</t>
  </si>
  <si>
    <t>Memoria contigua vector&lt;int&gt;</t>
  </si>
  <si>
    <t>V3</t>
  </si>
  <si>
    <t>OpenMP</t>
  </si>
  <si>
    <t>8 hilos</t>
  </si>
  <si>
    <t>V4</t>
  </si>
  <si>
    <t>MPI</t>
  </si>
  <si>
    <t>8 procesos</t>
  </si>
  <si>
    <t>V5</t>
  </si>
  <si>
    <t>MPI + OpenMP</t>
  </si>
  <si>
    <t>8 procesos x 2 hilos</t>
  </si>
  <si>
    <t>V6</t>
  </si>
  <si>
    <t>CUDA</t>
  </si>
  <si>
    <t>RTX 4060</t>
  </si>
  <si>
    <t>Resultados locales - resumen de versiones</t>
  </si>
  <si>
    <t>Descripción</t>
  </si>
  <si>
    <t>Rep 1</t>
  </si>
  <si>
    <t>Rep 2</t>
  </si>
  <si>
    <t>Rep 3</t>
  </si>
  <si>
    <t>Rep 4</t>
  </si>
  <si>
    <t>Rep 5</t>
  </si>
  <si>
    <t>Mejor</t>
  </si>
  <si>
    <t>Media</t>
  </si>
  <si>
    <t>Memoria contigua</t>
  </si>
  <si>
    <t>CUDA RTX 4060</t>
  </si>
  <si>
    <t>Escalabilidad OpenMP, MPI e híbrida</t>
  </si>
  <si>
    <t>Hilos</t>
  </si>
  <si>
    <t>Eficiencia</t>
  </si>
  <si>
    <t>Procesos</t>
  </si>
  <si>
    <t>Procesos MPI</t>
  </si>
  <si>
    <t>Hilos/proceso</t>
  </si>
  <si>
    <t>Unidades teóricas</t>
  </si>
  <si>
    <t>Clúster y CUDA</t>
  </si>
  <si>
    <t>Resultados en clúster</t>
  </si>
  <si>
    <t>V4 MPI</t>
  </si>
  <si>
    <t>4 procesos MPI</t>
  </si>
  <si>
    <t>V5 MPI + OpenMP</t>
  </si>
  <si>
    <t>4 procesos MPI x 2 hilos</t>
  </si>
  <si>
    <t>GPU</t>
  </si>
  <si>
    <t>NVIDIA GeForce RTX 4060</t>
  </si>
  <si>
    <t>Interpretación</t>
  </si>
  <si>
    <t>La ejecución en clúster valida el funcionamiento distribuido real. Los tiempos no son directamente comparables con los locales porque se ejecutan en plataformas distintas.</t>
  </si>
  <si>
    <t>La versión híbrida en clúster fue más lenta que MPI pura debido a la sobrecarga de hilos, recursos limitados de las máquinas virtuales y competencia por memoria/CPU.</t>
  </si>
  <si>
    <t>CUDA fue la versión más rápida en local al asignar el cálculo de celdas a hilos de GPU.</t>
  </si>
  <si>
    <t>Notas metodológicas y validación</t>
  </si>
  <si>
    <t>Validación</t>
  </si>
  <si>
    <t>Todas las versiones producen 43306 células vivas finales.</t>
  </si>
  <si>
    <t>Medición</t>
  </si>
  <si>
    <t>Cada experimento se repite 5 veces y se toma el mejor tiempo.</t>
  </si>
  <si>
    <t>Comparación</t>
  </si>
  <si>
    <t>Las comparaciones de speedup local usan V1 o V2 como referencia según el apartado.</t>
  </si>
  <si>
    <t>Clúster</t>
  </si>
  <si>
    <t>Los tiempos de clúster no se comparan directamente con Windows local por tratarse de plataformas distintas.</t>
  </si>
  <si>
    <t>La medición CUDA se realiza con eventos CUDA alrededor de la ejecución de kernels.</t>
  </si>
  <si>
    <t>Bordes</t>
  </si>
  <si>
    <t>Los bordes de la matriz se mantienen siempre muertos.</t>
  </si>
  <si>
    <t>Inicialización</t>
  </si>
  <si>
    <t>Se usa semilla fija 12345 y probabilidad de célula viva 0.30.</t>
  </si>
  <si>
    <t>Doble buffer</t>
  </si>
  <si>
    <t>Se usan dos matrices para evitar condiciones de carrera.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</si>
</sst>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\x"/>
  </numFmts>
  <fonts count="6">
    <font>
      <sz val="11"/>
      <name val="Carlito"/>
    </font>
    <font>
      <sz val="10"/>
      <color rgb="FF111827"/>
      <name val="Calibri"/>
    </font>
    <font>
      <b/>
      <sz val="18"/>
      <color rgb="FF0F172A"/>
      <name val="Calibri"/>
    </font>
    <font>
      <b/>
      <sz val="10"/>
      <color rgb="FF111827"/>
      <name val="Calibri"/>
    </font>
    <font>
      <b/>
      <sz val="16"/>
      <color rgb="FF111827"/>
      <name val="Calibri"/>
    </font>
    <font>
      <b/>
      <sz val="12"/>
      <color rgb="FF11182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8FAFC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5" borderId="1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7" borderId="6" xfId="0" applyFont="1" applyFill="1" applyBorder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Mejor tiempo por versión local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Tiempo (s)</c:v>
          </c:tx>
          <c:invertIfNegative val="1"/>
          <c:cat>
            <c:strLit>
              <c:ptCount val="6"/>
              <c:pt idx="0">
                <c:v>V1</c:v>
              </c:pt>
              <c:pt idx="1">
                <c:v>V2</c:v>
              </c:pt>
              <c:pt idx="2">
                <c:v>V3</c:v>
              </c:pt>
              <c:pt idx="3">
                <c:v>V4</c:v>
              </c:pt>
              <c:pt idx="4">
                <c:v>V5</c:v>
              </c:pt>
              <c:pt idx="5">
                <c:v>V6</c:v>
              </c:pt>
            </c:strLit>
          </c:cat>
          <c:val>
            <c:numLit>
              <c:formatCode>General</c:formatCode>
              <c:ptCount val="6"/>
              <c:pt idx="0">
                <c:v>1.9270099999999999</c:v>
              </c:pt>
              <c:pt idx="1">
                <c:v>1.5602199999999999</c:v>
              </c:pt>
              <c:pt idx="2">
                <c:v>0.30745099999999997</c:v>
              </c:pt>
              <c:pt idx="3">
                <c:v>0.311311</c:v>
              </c:pt>
              <c:pt idx="4">
                <c:v>0.18678</c:v>
              </c:pt>
              <c:pt idx="5">
                <c:v>1.8150199999999998E-2</c:v>
              </c:pt>
            </c:numLit>
          </c:val>
          <c:extLst>
            <c:ext xmlns:c16="http://schemas.microsoft.com/office/drawing/2014/chart" uri="{C3380CC4-5D6E-409C-BE32-E72D297353CC}">
              <c16:uniqueId val="{00000000-0208-4B09-8127-6CBAD7FF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Speedup vs V1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Speedup</c:v>
          </c:tx>
          <c:invertIfNegative val="1"/>
          <c:cat>
            <c:strLit>
              <c:ptCount val="6"/>
              <c:pt idx="0">
                <c:v>V1</c:v>
              </c:pt>
              <c:pt idx="1">
                <c:v>V2</c:v>
              </c:pt>
              <c:pt idx="2">
                <c:v>V3</c:v>
              </c:pt>
              <c:pt idx="3">
                <c:v>V4</c:v>
              </c:pt>
              <c:pt idx="4">
                <c:v>V5</c:v>
              </c:pt>
              <c:pt idx="5">
                <c:v>V6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1.235081809</c:v>
              </c:pt>
              <c:pt idx="2">
                <c:v>6.2677008110000001</c:v>
              </c:pt>
              <c:pt idx="3">
                <c:v>6.190306799</c:v>
              </c:pt>
              <c:pt idx="4">
                <c:v>10.316035980000001</c:v>
              </c:pt>
              <c:pt idx="5">
                <c:v>106.1707309</c:v>
              </c:pt>
            </c:numLit>
          </c:val>
          <c:extLst>
            <c:ext xmlns:c16="http://schemas.microsoft.com/office/drawing/2014/chart" uri="{C3380CC4-5D6E-409C-BE32-E72D297353CC}">
              <c16:uniqueId val="{00000000-17F1-41B6-A42C-D34F2690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Escalabilidad: tiempo según unidades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OpenMP</c:v>
          </c:tx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Lit>
              <c:formatCode>General</c:formatCode>
              <c:ptCount val="4"/>
              <c:pt idx="0">
                <c:v>1.5657399999999999</c:v>
              </c:pt>
              <c:pt idx="1">
                <c:v>0.81758299999999995</c:v>
              </c:pt>
              <c:pt idx="2">
                <c:v>0.477688</c:v>
              </c:pt>
              <c:pt idx="3">
                <c:v>0.30745099999999997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B6B-425B-8DC7-1BBCC35FE2EF}"/>
            </c:ext>
          </c:extLst>
        </c:ser>
        <c:ser>
          <c:idx val="1"/>
          <c:order val="1"/>
          <c:tx>
            <c:v>MPI</c:v>
          </c:tx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Lit>
              <c:formatCode>General</c:formatCode>
              <c:ptCount val="4"/>
              <c:pt idx="0">
                <c:v>1.6163700000000001</c:v>
              </c:pt>
              <c:pt idx="1">
                <c:v>0.814272</c:v>
              </c:pt>
              <c:pt idx="2">
                <c:v>0.41908699999999999</c:v>
              </c:pt>
              <c:pt idx="3">
                <c:v>0.311311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B6B-425B-8DC7-1BBCC35FE2EF}"/>
            </c:ext>
          </c:extLst>
        </c:ser>
        <c:ser>
          <c:idx val="2"/>
          <c:order val="2"/>
          <c:tx>
            <c:v>Híbrida</c:v>
          </c:tx>
          <c:cat>
            <c:numLit>
              <c:formatCode>General</c:formatCode>
              <c:ptCount val="4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16</c:v>
              </c:pt>
            </c:numLit>
          </c:cat>
          <c:val>
            <c:numLit>
              <c:formatCode>General</c:formatCode>
              <c:ptCount val="4"/>
              <c:pt idx="0">
                <c:v>0.87393600000000005</c:v>
              </c:pt>
              <c:pt idx="1">
                <c:v>0.46503800000000001</c:v>
              </c:pt>
              <c:pt idx="2">
                <c:v>0.33956999999999998</c:v>
              </c:pt>
              <c:pt idx="3">
                <c:v>0.18678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B6B-425B-8DC7-1BBCC35F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Speedup vs 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OpenMP</c:v>
          </c:tx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Lit>
              <c:formatCode>General</c:formatCode>
              <c:ptCount val="4"/>
              <c:pt idx="0">
                <c:v>0.99647451045512025</c:v>
              </c:pt>
              <c:pt idx="1">
                <c:v>1.9083322427203111</c:v>
              </c:pt>
              <c:pt idx="2">
                <c:v>3.2661904841653966</c:v>
              </c:pt>
              <c:pt idx="3">
                <c:v>5.0746948294199727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E1-489E-ABCD-1C890E85CC46}"/>
            </c:ext>
          </c:extLst>
        </c:ser>
        <c:ser>
          <c:idx val="1"/>
          <c:order val="1"/>
          <c:tx>
            <c:v>MPI</c:v>
          </c:tx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Lit>
              <c:formatCode>General</c:formatCode>
              <c:ptCount val="4"/>
              <c:pt idx="0">
                <c:v>0.96526166657386603</c:v>
              </c:pt>
              <c:pt idx="1">
                <c:v>1.9160919201446198</c:v>
              </c:pt>
              <c:pt idx="2">
                <c:v>3.7229024045126669</c:v>
              </c:pt>
              <c:pt idx="3">
                <c:v>5.0117727931232752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AE1-489E-ABCD-1C890E85CC46}"/>
            </c:ext>
          </c:extLst>
        </c:ser>
        <c:ser>
          <c:idx val="2"/>
          <c:order val="2"/>
          <c:tx>
            <c:v>Híbrida</c:v>
          </c:tx>
          <c:cat>
            <c:numLit>
              <c:formatCode>General</c:formatCode>
              <c:ptCount val="4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16</c:v>
              </c:pt>
            </c:numLit>
          </c:cat>
          <c:val>
            <c:numLit>
              <c:formatCode>General</c:formatCode>
              <c:ptCount val="4"/>
              <c:pt idx="0">
                <c:v>1.7852794712656304</c:v>
              </c:pt>
              <c:pt idx="1">
                <c:v>3.3550376528369723</c:v>
              </c:pt>
              <c:pt idx="2">
                <c:v>4.5946932885708396</c:v>
              </c:pt>
              <c:pt idx="3">
                <c:v>8.35324981261377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AE1-489E-ABCD-1C890E85C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Clúster: V4 vs V5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Tiempo (s)</c:v>
          </c:tx>
          <c:invertIfNegative val="1"/>
          <c:cat>
            <c:strLit>
              <c:ptCount val="2"/>
              <c:pt idx="0">
                <c:v>V4 MPI</c:v>
              </c:pt>
              <c:pt idx="1">
                <c:v>V5 híbrida</c:v>
              </c:pt>
            </c:strLit>
          </c:cat>
          <c:val>
            <c:numLit>
              <c:formatCode>General</c:formatCode>
              <c:ptCount val="2"/>
              <c:pt idx="0">
                <c:v>1.0153799999999999</c:v>
              </c:pt>
              <c:pt idx="1">
                <c:v>4.0254399999999997</c:v>
              </c:pt>
            </c:numLit>
          </c:val>
          <c:extLst>
            <c:ext xmlns:c16="http://schemas.microsoft.com/office/drawing/2014/chart" uri="{C3380CC4-5D6E-409C-BE32-E72D297353CC}">
              <c16:uniqueId val="{00000000-A62D-40A8-A4A2-FE509F965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19125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5334000" cy="3238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9055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5334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619125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/>
  </sheetViews>
  <sheetFormatPr baseColWidth="10" defaultColWidth="9" defaultRowHeight="14.25"/>
  <cols>
    <col min="1" max="1" width="12" customWidth="1"/>
    <col min="2" max="2" width="24" customWidth="1"/>
    <col min="3" max="3" width="30" customWidth="1"/>
    <col min="4" max="4" width="16" customWidth="1"/>
    <col min="5" max="6" width="14" customWidth="1"/>
    <col min="7" max="8" width="16" customWidth="1"/>
    <col min="9" max="11" width="14" customWidth="1"/>
  </cols>
  <sheetData>
    <row r="1" spans="1:11" ht="30" customHeight="1">
      <c r="A1" s="2" t="s">
        <v>0</v>
      </c>
      <c r="B1" s="2"/>
      <c r="C1" s="2"/>
      <c r="D1" s="2"/>
      <c r="E1" s="2"/>
      <c r="F1" s="2"/>
      <c r="G1" s="2"/>
      <c r="H1" s="2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1</v>
      </c>
      <c r="B3" s="3">
        <v>1000</v>
      </c>
      <c r="C3" s="1"/>
      <c r="D3" s="7" t="s">
        <v>2</v>
      </c>
      <c r="E3" s="6" t="s">
        <v>3</v>
      </c>
      <c r="F3" s="1"/>
      <c r="G3" s="1"/>
      <c r="H3" s="1"/>
      <c r="I3" s="1"/>
      <c r="J3" s="1"/>
      <c r="K3" s="1"/>
    </row>
    <row r="4" spans="1:11">
      <c r="A4" s="4" t="s">
        <v>4</v>
      </c>
      <c r="B4" s="4">
        <v>1000</v>
      </c>
      <c r="C4" s="1"/>
      <c r="D4" s="7" t="s">
        <v>5</v>
      </c>
      <c r="E4" s="10">
        <v>0.18678</v>
      </c>
      <c r="F4" s="1"/>
      <c r="G4" s="1"/>
      <c r="H4" s="1"/>
      <c r="I4" s="1"/>
      <c r="J4" s="1"/>
      <c r="K4" s="1"/>
    </row>
    <row r="5" spans="1:11">
      <c r="A5" s="4" t="s">
        <v>6</v>
      </c>
      <c r="B5" s="4">
        <v>5</v>
      </c>
      <c r="C5" s="1"/>
      <c r="D5" s="7" t="s">
        <v>7</v>
      </c>
      <c r="E5" s="10">
        <f>'Resultados locales'!G8</f>
        <v>10.317003961880287</v>
      </c>
      <c r="F5" s="1"/>
      <c r="G5" s="1"/>
      <c r="H5" s="1"/>
      <c r="I5" s="1"/>
      <c r="J5" s="1"/>
      <c r="K5" s="1"/>
    </row>
    <row r="6" spans="1:11">
      <c r="A6" s="4" t="s">
        <v>8</v>
      </c>
      <c r="B6" s="4">
        <v>12345</v>
      </c>
      <c r="C6" s="1"/>
      <c r="D6" s="8"/>
      <c r="E6" s="11"/>
      <c r="F6" s="1"/>
      <c r="G6" s="1"/>
      <c r="H6" s="1"/>
      <c r="I6" s="1"/>
      <c r="J6" s="1"/>
      <c r="K6" s="1"/>
    </row>
    <row r="7" spans="1:11">
      <c r="A7" s="4" t="s">
        <v>9</v>
      </c>
      <c r="B7" s="5">
        <v>0.3</v>
      </c>
      <c r="C7" s="1"/>
      <c r="D7" s="9" t="s">
        <v>10</v>
      </c>
      <c r="E7" s="12" t="s">
        <v>11</v>
      </c>
      <c r="F7" s="1"/>
      <c r="G7" s="1"/>
      <c r="H7" s="1"/>
      <c r="I7" s="1"/>
      <c r="J7" s="1"/>
      <c r="K7" s="1"/>
    </row>
    <row r="8" spans="1:11">
      <c r="A8" s="4" t="s">
        <v>12</v>
      </c>
      <c r="B8" s="4">
        <v>43306</v>
      </c>
      <c r="C8" s="1"/>
      <c r="D8" s="9" t="s">
        <v>13</v>
      </c>
      <c r="E8" s="12">
        <v>1.8150199999999998E-2</v>
      </c>
      <c r="F8" s="1"/>
      <c r="G8" s="1"/>
      <c r="H8" s="1"/>
      <c r="I8" s="1"/>
      <c r="J8" s="1"/>
      <c r="K8" s="1"/>
    </row>
    <row r="9" spans="1:11">
      <c r="A9" s="1"/>
      <c r="B9" s="1"/>
      <c r="C9" s="1"/>
      <c r="D9" s="9" t="s">
        <v>14</v>
      </c>
      <c r="E9" s="12">
        <f>'Resultados locales'!G9</f>
        <v>106.17017994292074</v>
      </c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3" t="s">
        <v>15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  <c r="G12" s="13" t="s">
        <v>21</v>
      </c>
      <c r="H12" s="13" t="s">
        <v>22</v>
      </c>
      <c r="I12" s="1"/>
      <c r="J12" s="1"/>
      <c r="K12" s="1"/>
    </row>
    <row r="13" spans="1:11">
      <c r="A13" s="4" t="s">
        <v>23</v>
      </c>
      <c r="B13" s="4" t="s">
        <v>24</v>
      </c>
      <c r="C13" s="4" t="s">
        <v>25</v>
      </c>
      <c r="D13" s="14">
        <v>1.9270099999999999</v>
      </c>
      <c r="E13" s="15">
        <v>43306</v>
      </c>
      <c r="F13" s="15">
        <v>1</v>
      </c>
      <c r="G13" s="16">
        <f t="shared" ref="G13:G18" si="0">D$13/D13</f>
        <v>1</v>
      </c>
      <c r="H13" s="16">
        <f t="shared" ref="H13:H18" si="1">D$14/D13</f>
        <v>0.80965848646348493</v>
      </c>
      <c r="I13" s="1"/>
      <c r="J13" s="1"/>
      <c r="K13" s="1"/>
    </row>
    <row r="14" spans="1:11">
      <c r="A14" s="4" t="s">
        <v>26</v>
      </c>
      <c r="B14" s="4" t="s">
        <v>27</v>
      </c>
      <c r="C14" s="4" t="s">
        <v>28</v>
      </c>
      <c r="D14" s="14">
        <v>1.5602199999999999</v>
      </c>
      <c r="E14" s="15">
        <v>43306</v>
      </c>
      <c r="F14" s="15">
        <v>1</v>
      </c>
      <c r="G14" s="16">
        <f t="shared" si="0"/>
        <v>1.2350886413454512</v>
      </c>
      <c r="H14" s="16">
        <f t="shared" si="1"/>
        <v>1</v>
      </c>
      <c r="I14" s="1"/>
      <c r="J14" s="1"/>
      <c r="K14" s="1"/>
    </row>
    <row r="15" spans="1:11">
      <c r="A15" s="4" t="s">
        <v>29</v>
      </c>
      <c r="B15" s="4" t="s">
        <v>30</v>
      </c>
      <c r="C15" s="4" t="s">
        <v>31</v>
      </c>
      <c r="D15" s="14">
        <v>0.30745099999999997</v>
      </c>
      <c r="E15" s="15">
        <v>43306</v>
      </c>
      <c r="F15" s="15">
        <v>8</v>
      </c>
      <c r="G15" s="16">
        <f t="shared" si="0"/>
        <v>6.2676979421111012</v>
      </c>
      <c r="H15" s="16">
        <f t="shared" si="1"/>
        <v>5.0746948294199727</v>
      </c>
      <c r="I15" s="1"/>
      <c r="J15" s="1"/>
      <c r="K15" s="1"/>
    </row>
    <row r="16" spans="1:11">
      <c r="A16" s="4" t="s">
        <v>32</v>
      </c>
      <c r="B16" s="4" t="s">
        <v>33</v>
      </c>
      <c r="C16" s="4" t="s">
        <v>34</v>
      </c>
      <c r="D16" s="14">
        <v>0.311311</v>
      </c>
      <c r="E16" s="15">
        <v>43306</v>
      </c>
      <c r="F16" s="15">
        <v>8</v>
      </c>
      <c r="G16" s="16">
        <f t="shared" si="0"/>
        <v>6.1899836497907232</v>
      </c>
      <c r="H16" s="16">
        <f t="shared" si="1"/>
        <v>5.0117727931232752</v>
      </c>
      <c r="I16" s="1"/>
      <c r="J16" s="1"/>
      <c r="K16" s="1"/>
    </row>
    <row r="17" spans="1:11">
      <c r="A17" s="4" t="s">
        <v>35</v>
      </c>
      <c r="B17" s="4" t="s">
        <v>36</v>
      </c>
      <c r="C17" s="4" t="s">
        <v>37</v>
      </c>
      <c r="D17" s="14">
        <v>0.18678</v>
      </c>
      <c r="E17" s="15">
        <v>43306</v>
      </c>
      <c r="F17" s="15">
        <v>16</v>
      </c>
      <c r="G17" s="16">
        <f t="shared" si="0"/>
        <v>10.317003961880287</v>
      </c>
      <c r="H17" s="16">
        <f t="shared" si="1"/>
        <v>8.35324981261377</v>
      </c>
      <c r="I17" s="1"/>
      <c r="J17" s="1"/>
      <c r="K17" s="1"/>
    </row>
    <row r="18" spans="1:11">
      <c r="A18" s="4" t="s">
        <v>38</v>
      </c>
      <c r="B18" s="4" t="s">
        <v>39</v>
      </c>
      <c r="C18" s="4" t="s">
        <v>40</v>
      </c>
      <c r="D18" s="14">
        <v>1.8150199999999998E-2</v>
      </c>
      <c r="E18" s="15">
        <v>43306</v>
      </c>
      <c r="F18" s="15"/>
      <c r="G18" s="16">
        <f t="shared" si="0"/>
        <v>106.17017994292074</v>
      </c>
      <c r="H18" s="16">
        <f t="shared" si="1"/>
        <v>85.961587200141054</v>
      </c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conditionalFormatting sqref="D13:D18">
    <cfRule type="dataBar" priority="1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conditionalFormatting sqref="G13:G18">
    <cfRule type="dataBar" priority="2">
      <dataBar>
        <cfvo type="min"/>
        <cfvo type="max"/>
        <color rgb="FF22C55E"/>
      </dataBar>
    </cfRule>
    <cfRule type="dataBar" priority="4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{2CF8075F-86B4-89D8-8DF8-06BBF5DD8D68}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D13:D18</xm:sqref>
        </x14:conditionalFormatting>
        <x14:conditionalFormatting xmlns:xm="http://schemas.microsoft.com/office/excel/2006/main">
          <x14:cfRule type="dataBar" id="{2CF8075F-86B4-89D8-8DF8-06BBF5DD8D68}">
            <x14:dataBar>
              <x14:cfvo type="min"/>
              <x14:cfvo type="max"/>
              <x14:negativeFillColor auto="1"/>
              <x14:axisColor auto="1"/>
            </x14:dataBar>
          </x14:cfRule>
          <xm:sqref>G13:G18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/>
  </sheetViews>
  <sheetFormatPr baseColWidth="10" defaultColWidth="9" defaultRowHeight="14.25"/>
  <cols>
    <col min="1" max="1" width="16" customWidth="1"/>
    <col min="2" max="2" width="26" customWidth="1"/>
    <col min="3" max="7" width="12" customWidth="1"/>
    <col min="8" max="8" width="16" customWidth="1"/>
    <col min="9" max="11" width="14" customWidth="1"/>
  </cols>
  <sheetData>
    <row r="1" spans="1:11" ht="26.1" customHeight="1">
      <c r="A1" s="17" t="s">
        <v>41</v>
      </c>
      <c r="B1" s="17"/>
      <c r="C1" s="17"/>
      <c r="D1" s="17"/>
      <c r="E1" s="17"/>
      <c r="F1" s="17"/>
      <c r="G1" s="17"/>
      <c r="H1" s="17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3" t="s">
        <v>15</v>
      </c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"/>
      <c r="J3" s="1"/>
      <c r="K3" s="1"/>
    </row>
    <row r="4" spans="1:11">
      <c r="A4" s="4" t="s">
        <v>23</v>
      </c>
      <c r="B4" s="4" t="s">
        <v>24</v>
      </c>
      <c r="C4" s="4" t="s">
        <v>25</v>
      </c>
      <c r="D4" s="14">
        <v>1.9270099999999999</v>
      </c>
      <c r="E4" s="15">
        <v>43306</v>
      </c>
      <c r="F4" s="15">
        <v>1</v>
      </c>
      <c r="G4" s="16">
        <f t="shared" ref="G4:G9" si="0">$D$4/D4</f>
        <v>1</v>
      </c>
      <c r="H4" s="16">
        <f t="shared" ref="H4:H9" si="1">$D$5/D4</f>
        <v>0.80965848646348493</v>
      </c>
      <c r="I4" s="1"/>
      <c r="J4" s="1"/>
      <c r="K4" s="1"/>
    </row>
    <row r="5" spans="1:11">
      <c r="A5" s="4" t="s">
        <v>26</v>
      </c>
      <c r="B5" s="4" t="s">
        <v>27</v>
      </c>
      <c r="C5" s="4" t="s">
        <v>28</v>
      </c>
      <c r="D5" s="14">
        <v>1.5602199999999999</v>
      </c>
      <c r="E5" s="15">
        <v>43306</v>
      </c>
      <c r="F5" s="15">
        <v>1</v>
      </c>
      <c r="G5" s="16">
        <f t="shared" si="0"/>
        <v>1.2350886413454512</v>
      </c>
      <c r="H5" s="16">
        <f t="shared" si="1"/>
        <v>1</v>
      </c>
      <c r="I5" s="1"/>
      <c r="J5" s="1"/>
      <c r="K5" s="1"/>
    </row>
    <row r="6" spans="1:11">
      <c r="A6" s="4" t="s">
        <v>29</v>
      </c>
      <c r="B6" s="4" t="s">
        <v>30</v>
      </c>
      <c r="C6" s="4" t="s">
        <v>31</v>
      </c>
      <c r="D6" s="14">
        <v>0.30745099999999997</v>
      </c>
      <c r="E6" s="15">
        <v>43306</v>
      </c>
      <c r="F6" s="15">
        <v>8</v>
      </c>
      <c r="G6" s="16">
        <f t="shared" si="0"/>
        <v>6.2676979421111012</v>
      </c>
      <c r="H6" s="16">
        <f t="shared" si="1"/>
        <v>5.0746948294199727</v>
      </c>
      <c r="I6" s="1"/>
      <c r="J6" s="1"/>
      <c r="K6" s="1"/>
    </row>
    <row r="7" spans="1:11">
      <c r="A7" s="4" t="s">
        <v>32</v>
      </c>
      <c r="B7" s="4" t="s">
        <v>33</v>
      </c>
      <c r="C7" s="4" t="s">
        <v>34</v>
      </c>
      <c r="D7" s="14">
        <v>0.311311</v>
      </c>
      <c r="E7" s="15">
        <v>43306</v>
      </c>
      <c r="F7" s="15">
        <v>8</v>
      </c>
      <c r="G7" s="16">
        <f t="shared" si="0"/>
        <v>6.1899836497907232</v>
      </c>
      <c r="H7" s="16">
        <f t="shared" si="1"/>
        <v>5.0117727931232752</v>
      </c>
      <c r="I7" s="1"/>
      <c r="J7" s="1"/>
      <c r="K7" s="1"/>
    </row>
    <row r="8" spans="1:11">
      <c r="A8" s="4" t="s">
        <v>35</v>
      </c>
      <c r="B8" s="4" t="s">
        <v>36</v>
      </c>
      <c r="C8" s="4" t="s">
        <v>37</v>
      </c>
      <c r="D8" s="14">
        <v>0.18678</v>
      </c>
      <c r="E8" s="15">
        <v>43306</v>
      </c>
      <c r="F8" s="15">
        <v>16</v>
      </c>
      <c r="G8" s="16">
        <f t="shared" si="0"/>
        <v>10.317003961880287</v>
      </c>
      <c r="H8" s="16">
        <f t="shared" si="1"/>
        <v>8.35324981261377</v>
      </c>
      <c r="I8" s="1"/>
      <c r="J8" s="1"/>
      <c r="K8" s="1"/>
    </row>
    <row r="9" spans="1:11">
      <c r="A9" s="4" t="s">
        <v>38</v>
      </c>
      <c r="B9" s="4" t="s">
        <v>39</v>
      </c>
      <c r="C9" s="4" t="s">
        <v>40</v>
      </c>
      <c r="D9" s="14">
        <v>1.8150199999999998E-2</v>
      </c>
      <c r="E9" s="15">
        <v>43306</v>
      </c>
      <c r="F9" s="15"/>
      <c r="G9" s="16">
        <f t="shared" si="0"/>
        <v>106.17017994292074</v>
      </c>
      <c r="H9" s="16">
        <f t="shared" si="1"/>
        <v>85.961587200141054</v>
      </c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3" t="s">
        <v>15</v>
      </c>
      <c r="B12" s="13" t="s">
        <v>42</v>
      </c>
      <c r="C12" s="13" t="s">
        <v>43</v>
      </c>
      <c r="D12" s="13" t="s">
        <v>44</v>
      </c>
      <c r="E12" s="13" t="s">
        <v>45</v>
      </c>
      <c r="F12" s="13" t="s">
        <v>46</v>
      </c>
      <c r="G12" s="13" t="s">
        <v>47</v>
      </c>
      <c r="H12" s="13" t="s">
        <v>48</v>
      </c>
      <c r="I12" s="13" t="s">
        <v>49</v>
      </c>
      <c r="J12" s="1"/>
      <c r="K12" s="1"/>
    </row>
    <row r="13" spans="1:11">
      <c r="A13" s="4" t="s">
        <v>23</v>
      </c>
      <c r="B13" s="4" t="s">
        <v>24</v>
      </c>
      <c r="C13" s="14">
        <v>1.93387</v>
      </c>
      <c r="D13" s="14">
        <v>1.93862</v>
      </c>
      <c r="E13" s="14">
        <v>1.94306</v>
      </c>
      <c r="F13" s="14">
        <v>1.93207</v>
      </c>
      <c r="G13" s="14">
        <v>1.9270099999999999</v>
      </c>
      <c r="H13" s="14">
        <f>MIN(C13:G13)</f>
        <v>1.9270099999999999</v>
      </c>
      <c r="I13" s="14">
        <f>AVERAGE(C13:G13)</f>
        <v>1.9349259999999997</v>
      </c>
      <c r="J13" s="1"/>
      <c r="K13" s="1"/>
    </row>
    <row r="14" spans="1:11">
      <c r="A14" s="4" t="s">
        <v>26</v>
      </c>
      <c r="B14" s="4" t="s">
        <v>50</v>
      </c>
      <c r="C14" s="14">
        <v>1.56036</v>
      </c>
      <c r="D14" s="14">
        <v>1.5635699999999999</v>
      </c>
      <c r="E14" s="14">
        <v>1.5602199999999999</v>
      </c>
      <c r="F14" s="14">
        <v>1.5643</v>
      </c>
      <c r="G14" s="14">
        <v>1.6535</v>
      </c>
      <c r="H14" s="14">
        <f>MIN(C14:G14)</f>
        <v>1.5602199999999999</v>
      </c>
      <c r="I14" s="14">
        <f>AVERAGE(C14:G14)</f>
        <v>1.58039</v>
      </c>
      <c r="J14" s="1"/>
      <c r="K14" s="1"/>
    </row>
    <row r="15" spans="1:11">
      <c r="A15" s="4" t="s">
        <v>38</v>
      </c>
      <c r="B15" s="4" t="s">
        <v>51</v>
      </c>
      <c r="C15" s="14">
        <v>1.8150199999999998E-2</v>
      </c>
      <c r="D15" s="14">
        <v>1.89182E-2</v>
      </c>
      <c r="E15" s="14">
        <v>1.8947100000000001E-2</v>
      </c>
      <c r="F15" s="14">
        <v>1.93434E-2</v>
      </c>
      <c r="G15" s="14">
        <v>1.9368799999999999E-2</v>
      </c>
      <c r="H15" s="14">
        <f>MIN(C15:G15)</f>
        <v>1.8150199999999998E-2</v>
      </c>
      <c r="I15" s="14">
        <f>AVERAGE(C15:G15)</f>
        <v>1.894554E-2</v>
      </c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conditionalFormatting sqref="G4:G9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{3E3F0AC3-B986-1E2F-2A1F-E04E77CCA81B}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3F0AC3-B986-1E2F-2A1F-E04E77CCA81B}">
            <x14:dataBar>
              <x14:cfvo type="min"/>
              <x14:cfvo type="max"/>
              <x14:negativeFillColor auto="1"/>
              <x14:axisColor auto="1"/>
            </x14:dataBar>
          </x14:cfRule>
          <xm:sqref>G4:G9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workbookViewId="0"/>
  </sheetViews>
  <sheetFormatPr baseColWidth="10" defaultColWidth="9" defaultRowHeight="14.25"/>
  <cols>
    <col min="1" max="11" width="15" customWidth="1"/>
  </cols>
  <sheetData>
    <row r="1" spans="1:11" ht="26.1" customHeight="1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>
      <c r="A3" s="18" t="s">
        <v>30</v>
      </c>
      <c r="B3" s="18"/>
      <c r="C3" s="18"/>
      <c r="D3" s="18"/>
      <c r="E3" s="18"/>
      <c r="F3" s="1"/>
      <c r="G3" s="18" t="s">
        <v>33</v>
      </c>
      <c r="H3" s="18"/>
      <c r="I3" s="18"/>
      <c r="J3" s="18"/>
      <c r="K3" s="18"/>
    </row>
    <row r="4" spans="1:11">
      <c r="A4" s="13" t="s">
        <v>53</v>
      </c>
      <c r="B4" s="13" t="s">
        <v>18</v>
      </c>
      <c r="C4" s="13" t="s">
        <v>19</v>
      </c>
      <c r="D4" s="13" t="s">
        <v>22</v>
      </c>
      <c r="E4" s="13" t="s">
        <v>54</v>
      </c>
      <c r="F4" s="1"/>
      <c r="G4" s="13" t="s">
        <v>55</v>
      </c>
      <c r="H4" s="13" t="s">
        <v>18</v>
      </c>
      <c r="I4" s="13" t="s">
        <v>19</v>
      </c>
      <c r="J4" s="13" t="s">
        <v>22</v>
      </c>
      <c r="K4" s="13" t="s">
        <v>54</v>
      </c>
    </row>
    <row r="5" spans="1:11">
      <c r="A5" s="4">
        <v>1</v>
      </c>
      <c r="B5" s="14">
        <v>1.5657399999999999</v>
      </c>
      <c r="C5" s="4">
        <v>43306</v>
      </c>
      <c r="D5" s="5">
        <f>'Resultados locales'!$D$5/B5</f>
        <v>0.99647451045512025</v>
      </c>
      <c r="E5" s="5">
        <f>D5/A5</f>
        <v>0.99647451045512025</v>
      </c>
      <c r="F5" s="1"/>
      <c r="G5" s="4">
        <v>1</v>
      </c>
      <c r="H5" s="14">
        <v>1.6163700000000001</v>
      </c>
      <c r="I5" s="4">
        <v>43306</v>
      </c>
      <c r="J5" s="5">
        <f>'Resultados locales'!$D$5/H5</f>
        <v>0.96526166657386603</v>
      </c>
      <c r="K5" s="5">
        <f>J5/G5</f>
        <v>0.96526166657386603</v>
      </c>
    </row>
    <row r="6" spans="1:11">
      <c r="A6" s="4">
        <v>2</v>
      </c>
      <c r="B6" s="14">
        <v>0.81758299999999995</v>
      </c>
      <c r="C6" s="4">
        <v>43306</v>
      </c>
      <c r="D6" s="5">
        <f>'Resultados locales'!$D$5/B6</f>
        <v>1.9083322427203111</v>
      </c>
      <c r="E6" s="5">
        <f>D6/A6</f>
        <v>0.95416612136015555</v>
      </c>
      <c r="F6" s="1"/>
      <c r="G6" s="4">
        <v>2</v>
      </c>
      <c r="H6" s="14">
        <v>0.814272</v>
      </c>
      <c r="I6" s="4">
        <v>43306</v>
      </c>
      <c r="J6" s="5">
        <f>'Resultados locales'!$D$5/H6</f>
        <v>1.9160919201446198</v>
      </c>
      <c r="K6" s="5">
        <f>J6/G6</f>
        <v>0.95804596007230991</v>
      </c>
    </row>
    <row r="7" spans="1:11">
      <c r="A7" s="4">
        <v>4</v>
      </c>
      <c r="B7" s="14">
        <v>0.477688</v>
      </c>
      <c r="C7" s="4">
        <v>43306</v>
      </c>
      <c r="D7" s="5">
        <f>'Resultados locales'!$D$5/B7</f>
        <v>3.2661904841653966</v>
      </c>
      <c r="E7" s="5">
        <f>D7/A7</f>
        <v>0.81654762104134915</v>
      </c>
      <c r="F7" s="1"/>
      <c r="G7" s="4">
        <v>4</v>
      </c>
      <c r="H7" s="14">
        <v>0.41908699999999999</v>
      </c>
      <c r="I7" s="4">
        <v>43306</v>
      </c>
      <c r="J7" s="5">
        <f>'Resultados locales'!$D$5/H7</f>
        <v>3.7229024045126669</v>
      </c>
      <c r="K7" s="5">
        <f>J7/G7</f>
        <v>0.93072560112816671</v>
      </c>
    </row>
    <row r="8" spans="1:11">
      <c r="A8" s="4">
        <v>8</v>
      </c>
      <c r="B8" s="14">
        <v>0.30745099999999997</v>
      </c>
      <c r="C8" s="4">
        <v>43306</v>
      </c>
      <c r="D8" s="5">
        <f>'Resultados locales'!$D$5/B8</f>
        <v>5.0746948294199727</v>
      </c>
      <c r="E8" s="5">
        <f>D8/A8</f>
        <v>0.63433685367749659</v>
      </c>
      <c r="F8" s="1"/>
      <c r="G8" s="4">
        <v>8</v>
      </c>
      <c r="H8" s="14">
        <v>0.311311</v>
      </c>
      <c r="I8" s="4">
        <v>43306</v>
      </c>
      <c r="J8" s="5">
        <f>'Resultados locales'!$D$5/H8</f>
        <v>5.0117727931232752</v>
      </c>
      <c r="K8" s="5">
        <f>J8/G8</f>
        <v>0.6264715991404094</v>
      </c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>
      <c r="A12" s="18" t="s">
        <v>36</v>
      </c>
      <c r="B12" s="18"/>
      <c r="C12" s="18"/>
      <c r="D12" s="18"/>
      <c r="E12" s="18"/>
      <c r="F12" s="18"/>
      <c r="G12" s="1"/>
      <c r="H12" s="1"/>
      <c r="I12" s="1"/>
      <c r="J12" s="1"/>
      <c r="K12" s="1"/>
    </row>
    <row r="13" spans="1:11">
      <c r="A13" s="13" t="s">
        <v>56</v>
      </c>
      <c r="B13" s="13" t="s">
        <v>57</v>
      </c>
      <c r="C13" s="13" t="s">
        <v>58</v>
      </c>
      <c r="D13" s="13" t="s">
        <v>18</v>
      </c>
      <c r="E13" s="13" t="s">
        <v>19</v>
      </c>
      <c r="F13" s="13" t="s">
        <v>22</v>
      </c>
      <c r="G13" s="1"/>
      <c r="H13" s="1"/>
      <c r="I13" s="1"/>
      <c r="J13" s="1"/>
      <c r="K13" s="1"/>
    </row>
    <row r="14" spans="1:11">
      <c r="A14" s="4">
        <v>1</v>
      </c>
      <c r="B14" s="4">
        <v>2</v>
      </c>
      <c r="C14" s="4">
        <v>2</v>
      </c>
      <c r="D14" s="14">
        <v>0.87393600000000005</v>
      </c>
      <c r="E14" s="4">
        <v>43306</v>
      </c>
      <c r="F14" s="5">
        <f>'Resultados locales'!$D$5/D14</f>
        <v>1.7852794712656304</v>
      </c>
      <c r="G14" s="1"/>
      <c r="H14" s="1"/>
      <c r="I14" s="1"/>
      <c r="J14" s="1"/>
      <c r="K14" s="1"/>
    </row>
    <row r="15" spans="1:11">
      <c r="A15" s="4">
        <v>2</v>
      </c>
      <c r="B15" s="4">
        <v>2</v>
      </c>
      <c r="C15" s="4">
        <v>4</v>
      </c>
      <c r="D15" s="14">
        <v>0.46503800000000001</v>
      </c>
      <c r="E15" s="4">
        <v>43306</v>
      </c>
      <c r="F15" s="5">
        <f>'Resultados locales'!$D$5/D15</f>
        <v>3.3550376528369723</v>
      </c>
      <c r="G15" s="1"/>
      <c r="H15" s="1"/>
      <c r="I15" s="1"/>
      <c r="J15" s="1"/>
      <c r="K15" s="1"/>
    </row>
    <row r="16" spans="1:11">
      <c r="A16" s="4">
        <v>4</v>
      </c>
      <c r="B16" s="4">
        <v>2</v>
      </c>
      <c r="C16" s="4">
        <v>8</v>
      </c>
      <c r="D16" s="14">
        <v>0.33956999999999998</v>
      </c>
      <c r="E16" s="4">
        <v>43306</v>
      </c>
      <c r="F16" s="5">
        <f>'Resultados locales'!$D$5/D16</f>
        <v>4.5946932885708396</v>
      </c>
      <c r="G16" s="1"/>
      <c r="H16" s="1"/>
      <c r="I16" s="1"/>
      <c r="J16" s="1"/>
      <c r="K16" s="1"/>
    </row>
    <row r="17" spans="1:11">
      <c r="A17" s="4">
        <v>8</v>
      </c>
      <c r="B17" s="4">
        <v>2</v>
      </c>
      <c r="C17" s="4">
        <v>16</v>
      </c>
      <c r="D17" s="14">
        <v>0.18678</v>
      </c>
      <c r="E17" s="4">
        <v>43306</v>
      </c>
      <c r="F17" s="5">
        <f>'Resultados locales'!$D$5/D17</f>
        <v>8.35324981261377</v>
      </c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conditionalFormatting sqref="D5:D8">
    <cfRule type="dataBar" priority="1">
      <dataBar>
        <cfvo type="min"/>
        <cfvo type="max"/>
        <color rgb="FF22C55E"/>
      </dataBar>
    </cfRule>
    <cfRule type="dataBar" priority="4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{B9315768-DEA8-96C7-A32F-A2B86D99CCDE}</x14:id>
        </ext>
      </extLst>
    </cfRule>
  </conditionalFormatting>
  <conditionalFormatting sqref="F14:F17">
    <cfRule type="dataBar" priority="3">
      <dataBar>
        <cfvo type="min"/>
        <cfvo type="max"/>
        <color rgb="FF22C55E"/>
      </dataBar>
    </cfRule>
    <cfRule type="dataBar" priority="6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{46D7154F-B6F6-2B38-6B20-42348DF2E9EB}</x14:id>
        </ext>
      </extLst>
    </cfRule>
  </conditionalFormatting>
  <conditionalFormatting sqref="J5:J8">
    <cfRule type="dataBar" priority="2">
      <dataBar>
        <cfvo type="min"/>
        <cfvo type="max"/>
        <color rgb="FF22C55E"/>
      </dataBar>
    </cfRule>
    <cfRule type="dataBar" priority="5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{27F50570-AEB1-600B-93EE-795A9A493AD1}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315768-DEA8-96C7-A32F-A2B86D99CCDE}">
            <x14:dataBar>
              <x14:cfvo type="min"/>
              <x14:cfvo type="max"/>
              <x14:negativeFillColor auto="1"/>
              <x14:axisColor auto="1"/>
            </x14:dataBar>
          </x14:cfRule>
          <xm:sqref>D5:D8</xm:sqref>
        </x14:conditionalFormatting>
        <x14:conditionalFormatting xmlns:xm="http://schemas.microsoft.com/office/excel/2006/main">
          <x14:cfRule type="dataBar" id="{46D7154F-B6F6-2B38-6B20-42348DF2E9EB}">
            <x14:dataBar>
              <x14:cfvo type="min"/>
              <x14:cfvo type="max"/>
              <x14:negativeFillColor auto="1"/>
              <x14:axisColor auto="1"/>
            </x14:dataBar>
          </x14:cfRule>
          <xm:sqref>F14:F17</xm:sqref>
        </x14:conditionalFormatting>
        <x14:conditionalFormatting xmlns:xm="http://schemas.microsoft.com/office/excel/2006/main">
          <x14:cfRule type="dataBar" id="{27F50570-AEB1-600B-93EE-795A9A493AD1}">
            <x14:dataBar>
              <x14:cfvo type="min"/>
              <x14:cfvo type="max"/>
              <x14:negativeFillColor auto="1"/>
              <x14:axisColor auto="1"/>
            </x14:dataBar>
          </x14:cfRule>
          <xm:sqref>J5:J8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/>
  </sheetViews>
  <sheetFormatPr baseColWidth="10" defaultColWidth="9" defaultRowHeight="14.25"/>
  <cols>
    <col min="1" max="1" width="16" customWidth="1"/>
    <col min="2" max="2" width="28" customWidth="1"/>
    <col min="3" max="8" width="12" customWidth="1"/>
    <col min="9" max="11" width="14" customWidth="1"/>
  </cols>
  <sheetData>
    <row r="1" spans="1:11" ht="26.1" customHeight="1">
      <c r="A1" s="17" t="s">
        <v>59</v>
      </c>
      <c r="B1" s="17"/>
      <c r="C1" s="17"/>
      <c r="D1" s="17"/>
      <c r="E1" s="17"/>
      <c r="F1" s="17"/>
      <c r="G1" s="17"/>
      <c r="H1" s="17"/>
      <c r="I1" s="17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>
      <c r="A3" s="18" t="s">
        <v>60</v>
      </c>
      <c r="B3" s="18"/>
      <c r="C3" s="18"/>
      <c r="D3" s="18"/>
      <c r="E3" s="18"/>
      <c r="F3" s="18"/>
      <c r="G3" s="18"/>
      <c r="H3" s="18"/>
      <c r="I3" s="18"/>
      <c r="J3" s="1"/>
      <c r="K3" s="1"/>
    </row>
    <row r="4" spans="1:11">
      <c r="A4" s="13" t="s">
        <v>15</v>
      </c>
      <c r="B4" s="13" t="s">
        <v>17</v>
      </c>
      <c r="C4" s="13" t="s">
        <v>43</v>
      </c>
      <c r="D4" s="13" t="s">
        <v>44</v>
      </c>
      <c r="E4" s="13" t="s">
        <v>45</v>
      </c>
      <c r="F4" s="13" t="s">
        <v>46</v>
      </c>
      <c r="G4" s="13" t="s">
        <v>47</v>
      </c>
      <c r="H4" s="13" t="s">
        <v>48</v>
      </c>
      <c r="I4" s="13" t="s">
        <v>19</v>
      </c>
      <c r="J4" s="1"/>
      <c r="K4" s="1"/>
    </row>
    <row r="5" spans="1:11">
      <c r="A5" s="4" t="s">
        <v>61</v>
      </c>
      <c r="B5" s="4" t="s">
        <v>62</v>
      </c>
      <c r="C5" s="14">
        <v>1.7294700000000001</v>
      </c>
      <c r="D5" s="14">
        <v>1.0153799999999999</v>
      </c>
      <c r="E5" s="14">
        <v>1.0310999999999999</v>
      </c>
      <c r="F5" s="14">
        <v>1.30132</v>
      </c>
      <c r="G5" s="14">
        <v>1.1478699999999999</v>
      </c>
      <c r="H5" s="14">
        <f>MIN(C5:G5)</f>
        <v>1.0153799999999999</v>
      </c>
      <c r="I5" s="15">
        <v>43306</v>
      </c>
      <c r="J5" s="1"/>
      <c r="K5" s="1"/>
    </row>
    <row r="6" spans="1:11">
      <c r="A6" s="4" t="s">
        <v>63</v>
      </c>
      <c r="B6" s="4" t="s">
        <v>64</v>
      </c>
      <c r="C6" s="14">
        <v>4.21495</v>
      </c>
      <c r="D6" s="14">
        <v>4.0304700000000002</v>
      </c>
      <c r="E6" s="14">
        <v>4.0363300000000004</v>
      </c>
      <c r="F6" s="14">
        <v>4.1390000000000002</v>
      </c>
      <c r="G6" s="14">
        <v>4.0254399999999997</v>
      </c>
      <c r="H6" s="14">
        <f>MIN(C6:G6)</f>
        <v>4.0254399999999997</v>
      </c>
      <c r="I6" s="15">
        <v>43306</v>
      </c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75">
      <c r="A10" s="18" t="s">
        <v>51</v>
      </c>
      <c r="B10" s="18"/>
      <c r="C10" s="18"/>
      <c r="D10" s="18"/>
      <c r="E10" s="18"/>
      <c r="F10" s="18"/>
      <c r="G10" s="18"/>
      <c r="H10" s="18"/>
      <c r="I10" s="18"/>
      <c r="J10" s="1"/>
      <c r="K10" s="1"/>
    </row>
    <row r="11" spans="1:11">
      <c r="A11" s="13" t="s">
        <v>15</v>
      </c>
      <c r="B11" s="13" t="s">
        <v>65</v>
      </c>
      <c r="C11" s="13" t="s">
        <v>43</v>
      </c>
      <c r="D11" s="13" t="s">
        <v>44</v>
      </c>
      <c r="E11" s="13" t="s">
        <v>45</v>
      </c>
      <c r="F11" s="13" t="s">
        <v>46</v>
      </c>
      <c r="G11" s="13" t="s">
        <v>47</v>
      </c>
      <c r="H11" s="13" t="s">
        <v>48</v>
      </c>
      <c r="I11" s="13" t="s">
        <v>19</v>
      </c>
      <c r="J11" s="1"/>
      <c r="K11" s="1"/>
    </row>
    <row r="12" spans="1:11">
      <c r="A12" s="4" t="s">
        <v>11</v>
      </c>
      <c r="B12" s="4" t="s">
        <v>66</v>
      </c>
      <c r="C12" s="14">
        <v>1.8150199999999998E-2</v>
      </c>
      <c r="D12" s="14">
        <v>1.89182E-2</v>
      </c>
      <c r="E12" s="14">
        <v>1.8947100000000001E-2</v>
      </c>
      <c r="F12" s="14">
        <v>1.93434E-2</v>
      </c>
      <c r="G12" s="14">
        <v>1.9368799999999999E-2</v>
      </c>
      <c r="H12" s="14">
        <f>MIN(C12:G12)</f>
        <v>1.8150199999999998E-2</v>
      </c>
      <c r="I12" s="15">
        <v>43306</v>
      </c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5" t="s">
        <v>67</v>
      </c>
      <c r="B15" s="26"/>
      <c r="C15" s="26"/>
      <c r="D15" s="26"/>
      <c r="E15" s="26"/>
      <c r="F15" s="26"/>
      <c r="G15" s="26"/>
      <c r="H15" s="27"/>
      <c r="I15" s="1"/>
      <c r="J15" s="1"/>
      <c r="K15" s="1"/>
    </row>
    <row r="16" spans="1:11" ht="42" customHeight="1">
      <c r="A16" s="19" t="s">
        <v>68</v>
      </c>
      <c r="B16" s="20"/>
      <c r="C16" s="20"/>
      <c r="D16" s="20"/>
      <c r="E16" s="20"/>
      <c r="F16" s="20"/>
      <c r="G16" s="20"/>
      <c r="H16" s="21"/>
      <c r="I16" s="1"/>
      <c r="J16" s="1"/>
      <c r="K16" s="1"/>
    </row>
    <row r="17" spans="1:11" ht="42" customHeight="1">
      <c r="A17" s="19" t="s">
        <v>69</v>
      </c>
      <c r="B17" s="20"/>
      <c r="C17" s="20"/>
      <c r="D17" s="20"/>
      <c r="E17" s="20"/>
      <c r="F17" s="20"/>
      <c r="G17" s="20"/>
      <c r="H17" s="21"/>
      <c r="I17" s="1"/>
      <c r="J17" s="1"/>
      <c r="K17" s="1"/>
    </row>
    <row r="18" spans="1:11" ht="42" customHeight="1">
      <c r="A18" s="19" t="s">
        <v>70</v>
      </c>
      <c r="B18" s="20"/>
      <c r="C18" s="20"/>
      <c r="D18" s="20"/>
      <c r="E18" s="20"/>
      <c r="F18" s="20"/>
      <c r="G18" s="20"/>
      <c r="H18" s="21"/>
      <c r="I18" s="1"/>
      <c r="J18" s="1"/>
      <c r="K18" s="1"/>
    </row>
    <row r="19" spans="1:11">
      <c r="A19" s="19"/>
      <c r="B19" s="20"/>
      <c r="C19" s="20"/>
      <c r="D19" s="20"/>
      <c r="E19" s="20"/>
      <c r="F19" s="20"/>
      <c r="G19" s="20"/>
      <c r="H19" s="21"/>
      <c r="I19" s="1"/>
      <c r="J19" s="1"/>
      <c r="K19" s="1"/>
    </row>
    <row r="20" spans="1:11">
      <c r="A20" s="19"/>
      <c r="B20" s="20"/>
      <c r="C20" s="20"/>
      <c r="D20" s="20"/>
      <c r="E20" s="20"/>
      <c r="F20" s="20"/>
      <c r="G20" s="20"/>
      <c r="H20" s="21"/>
      <c r="I20" s="1"/>
      <c r="J20" s="1"/>
      <c r="K20" s="1"/>
    </row>
    <row r="21" spans="1:11">
      <c r="A21" s="22"/>
      <c r="B21" s="23"/>
      <c r="C21" s="23"/>
      <c r="D21" s="23"/>
      <c r="E21" s="23"/>
      <c r="F21" s="23"/>
      <c r="G21" s="23"/>
      <c r="H21" s="24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workbookViewId="0"/>
  </sheetViews>
  <sheetFormatPr baseColWidth="10" defaultColWidth="9" defaultRowHeight="14.25"/>
  <cols>
    <col min="1" max="1" width="18" customWidth="1"/>
    <col min="2" max="2" width="90" customWidth="1"/>
    <col min="3" max="3" width="28" customWidth="1"/>
    <col min="4" max="4" width="16" customWidth="1"/>
    <col min="5" max="6" width="14" customWidth="1"/>
    <col min="7" max="8" width="16" customWidth="1"/>
    <col min="9" max="11" width="14" customWidth="1"/>
  </cols>
  <sheetData>
    <row r="1" spans="1:11" ht="21">
      <c r="A1" s="17" t="s">
        <v>71</v>
      </c>
      <c r="B1" s="17"/>
      <c r="C1" s="17"/>
      <c r="D1" s="17"/>
      <c r="E1" s="17"/>
      <c r="F1" s="17"/>
      <c r="G1" s="17"/>
      <c r="H1" s="17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8.1" customHeight="1">
      <c r="A3" s="29" t="s">
        <v>72</v>
      </c>
      <c r="B3" s="28" t="s">
        <v>73</v>
      </c>
      <c r="C3" s="1"/>
      <c r="D3" s="1"/>
      <c r="E3" s="1"/>
      <c r="F3" s="1"/>
      <c r="G3" s="1"/>
      <c r="H3" s="1"/>
      <c r="I3" s="1"/>
      <c r="J3" s="1"/>
      <c r="K3" s="1"/>
    </row>
    <row r="4" spans="1:11" ht="38.1" customHeight="1">
      <c r="A4" s="29" t="s">
        <v>74</v>
      </c>
      <c r="B4" s="28" t="s">
        <v>75</v>
      </c>
      <c r="C4" s="1"/>
      <c r="D4" s="1"/>
      <c r="E4" s="1"/>
      <c r="F4" s="1"/>
      <c r="G4" s="1"/>
      <c r="H4" s="1"/>
      <c r="I4" s="1"/>
      <c r="J4" s="1"/>
      <c r="K4" s="1"/>
    </row>
    <row r="5" spans="1:11" ht="38.1" customHeight="1">
      <c r="A5" s="29" t="s">
        <v>76</v>
      </c>
      <c r="B5" s="28" t="s">
        <v>77</v>
      </c>
      <c r="C5" s="1"/>
      <c r="D5" s="1"/>
      <c r="E5" s="1"/>
      <c r="F5" s="1"/>
      <c r="G5" s="1"/>
      <c r="H5" s="1"/>
      <c r="I5" s="1"/>
      <c r="J5" s="1"/>
      <c r="K5" s="1"/>
    </row>
    <row r="6" spans="1:11" ht="38.1" customHeight="1">
      <c r="A6" s="29" t="s">
        <v>78</v>
      </c>
      <c r="B6" s="28" t="s">
        <v>79</v>
      </c>
      <c r="C6" s="1"/>
      <c r="D6" s="1"/>
      <c r="E6" s="1"/>
      <c r="F6" s="1"/>
      <c r="G6" s="1"/>
      <c r="H6" s="1"/>
      <c r="I6" s="1"/>
      <c r="J6" s="1"/>
      <c r="K6" s="1"/>
    </row>
    <row r="7" spans="1:11" ht="38.1" customHeight="1">
      <c r="A7" s="29" t="s">
        <v>39</v>
      </c>
      <c r="B7" s="28" t="s">
        <v>80</v>
      </c>
      <c r="C7" s="1"/>
      <c r="D7" s="1"/>
      <c r="E7" s="1"/>
      <c r="F7" s="1"/>
      <c r="G7" s="1"/>
      <c r="H7" s="1"/>
      <c r="I7" s="1"/>
      <c r="J7" s="1"/>
      <c r="K7" s="1"/>
    </row>
    <row r="8" spans="1:11" ht="38.1" customHeight="1">
      <c r="A8" s="29" t="s">
        <v>81</v>
      </c>
      <c r="B8" s="28" t="s">
        <v>82</v>
      </c>
      <c r="C8" s="1"/>
      <c r="D8" s="1"/>
      <c r="E8" s="1"/>
      <c r="F8" s="1"/>
      <c r="G8" s="1"/>
      <c r="H8" s="1"/>
      <c r="I8" s="1"/>
      <c r="J8" s="1"/>
      <c r="K8" s="1"/>
    </row>
    <row r="9" spans="1:11" ht="38.1" customHeight="1">
      <c r="A9" s="29" t="s">
        <v>83</v>
      </c>
      <c r="B9" s="28" t="s">
        <v>84</v>
      </c>
      <c r="C9" s="1"/>
      <c r="D9" s="1"/>
      <c r="E9" s="1"/>
      <c r="F9" s="1"/>
      <c r="G9" s="1"/>
      <c r="H9" s="1"/>
      <c r="I9" s="1"/>
      <c r="J9" s="1"/>
      <c r="K9" s="1"/>
    </row>
    <row r="10" spans="1:11" ht="38.1" customHeight="1">
      <c r="A10" s="29" t="s">
        <v>85</v>
      </c>
      <c r="B10" s="28" t="s">
        <v>86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Resultados locales</vt:lpstr>
      <vt:lpstr>Escalabilidad</vt:lpstr>
      <vt:lpstr>Cluster CUDA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LOPEZ LEAL</cp:lastModifiedBy>
  <dcterms:created xsi:type="dcterms:W3CDTF">2026-05-01T10:55:30Z</dcterms:created>
  <dcterms:modified xsi:type="dcterms:W3CDTF">2026-05-01T10:55:30Z</dcterms:modified>
</cp:coreProperties>
</file>